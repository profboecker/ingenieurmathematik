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6221"/>
  <workbookPr showInkAnnotation="0" autoCompressPictures="0"/>
  <bookViews>
    <workbookView xWindow="0" yWindow="0" windowWidth="25600" windowHeight="16640" tabRatio="500"/>
  </bookViews>
  <sheets>
    <sheet name="Blatt1" sheetId="1" r:id="rId1"/>
  </sheets>
  <calcPr calcId="140000" concurrentCalc="0"/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H24" i="1" l="1" a="1"/>
  <c r="H24" i="1"/>
  <c r="H25" i="1"/>
  <c r="H26" i="1"/>
  <c r="E24" i="1" a="1"/>
  <c r="E24" i="1"/>
  <c r="F24" i="1"/>
  <c r="G24" i="1"/>
  <c r="E25" i="1"/>
  <c r="F25" i="1"/>
  <c r="G25" i="1"/>
  <c r="E26" i="1"/>
  <c r="F26" i="1"/>
  <c r="G26" i="1"/>
  <c r="J6" i="1"/>
  <c r="J5" i="1"/>
  <c r="J4" i="1"/>
  <c r="G8" i="1"/>
  <c r="F8" i="1"/>
  <c r="E8" i="1"/>
  <c r="I18" i="1" a="1"/>
  <c r="I18" i="1"/>
  <c r="J18" i="1"/>
  <c r="K18" i="1"/>
  <c r="I19" i="1"/>
  <c r="J19" i="1"/>
  <c r="K19" i="1"/>
  <c r="I20" i="1"/>
  <c r="J20" i="1"/>
  <c r="K20" i="1"/>
  <c r="L19" i="1"/>
  <c r="L20" i="1"/>
  <c r="L18" i="1"/>
  <c r="D24" i="1" a="1"/>
  <c r="D24" i="1"/>
  <c r="D25" i="1"/>
  <c r="D26" i="1"/>
  <c r="H18" i="1" a="1"/>
  <c r="H18" i="1"/>
  <c r="H19" i="1"/>
  <c r="H20" i="1"/>
  <c r="D4" i="1" a="1"/>
  <c r="D4" i="1"/>
  <c r="D5" i="1"/>
  <c r="D6" i="1"/>
  <c r="D18" i="1" a="1"/>
  <c r="D18" i="1"/>
  <c r="D19" i="1"/>
  <c r="D20" i="1"/>
</calcChain>
</file>

<file path=xl/sharedStrings.xml><?xml version="1.0" encoding="utf-8"?>
<sst xmlns="http://schemas.openxmlformats.org/spreadsheetml/2006/main" count="14" uniqueCount="7">
  <si>
    <t>Marktanteile Periode 2</t>
  </si>
  <si>
    <t>Marktanteile Periode 1</t>
  </si>
  <si>
    <t>Produzent</t>
  </si>
  <si>
    <t>Übergangsmatrix</t>
  </si>
  <si>
    <t>Marktanteile Periode 3</t>
  </si>
  <si>
    <t>Übergangsmatrix 23</t>
  </si>
  <si>
    <t>Übergangsmatrix 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</si>
</sst>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-* #,##0.00\ _€_-;\-* #,##0.00\ _€_-;_-* &quot;-&quot;??\ _€_-;_-@_-"/>
    <numFmt numFmtId="164" formatCode="0.0%"/>
  </numFmts>
  <fonts count="5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7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11">
    <xf numFmtId="0" fontId="0" fillId="0" borderId="0" xfId="0"/>
    <xf numFmtId="0" fontId="0" fillId="0" borderId="0" xfId="0" applyAlignment="1">
      <alignment horizontal="center"/>
    </xf>
    <xf numFmtId="43" fontId="0" fillId="0" borderId="0" xfId="1" applyFont="1" applyAlignment="1">
      <alignment horizontal="center"/>
    </xf>
    <xf numFmtId="9" fontId="0" fillId="0" borderId="0" xfId="2" applyFont="1" applyAlignment="1">
      <alignment horizontal="center"/>
    </xf>
    <xf numFmtId="9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4" fillId="0" borderId="0" xfId="0" applyFont="1" applyAlignment="1">
      <alignment horizontal="center"/>
    </xf>
    <xf numFmtId="164" fontId="0" fillId="0" borderId="0" xfId="2" applyNumberFormat="1" applyFont="1" applyAlignment="1">
      <alignment horizontal="center"/>
    </xf>
    <xf numFmtId="164" fontId="0" fillId="0" borderId="0" xfId="2" applyNumberFormat="1" applyFont="1"/>
    <xf numFmtId="164" fontId="0" fillId="0" borderId="0" xfId="0" applyNumberFormat="1" applyAlignment="1">
      <alignment horizontal="center"/>
    </xf>
    <xf numFmtId="43" fontId="0" fillId="0" borderId="0" xfId="0" applyNumberFormat="1"/>
  </cellXfs>
  <cellStyles count="27">
    <cellStyle name="Besuchter Link" xfId="4" builtinId="9" hidden="1"/>
    <cellStyle name="Besuchter Link" xfId="6" builtinId="9" hidden="1"/>
    <cellStyle name="Besuchter Link" xfId="8" builtinId="9" hidden="1"/>
    <cellStyle name="Besuchter Link" xfId="10" builtinId="9" hidden="1"/>
    <cellStyle name="Besuchter Link" xfId="12" builtinId="9" hidden="1"/>
    <cellStyle name="Besuchter Link" xfId="14" builtinId="9" hidden="1"/>
    <cellStyle name="Besuchter Link" xfId="16" builtinId="9" hidden="1"/>
    <cellStyle name="Besuchter Link" xfId="18" builtinId="9" hidden="1"/>
    <cellStyle name="Besuchter Link" xfId="20" builtinId="9" hidden="1"/>
    <cellStyle name="Besuchter Link" xfId="22" builtinId="9" hidden="1"/>
    <cellStyle name="Besuchter Link" xfId="24" builtinId="9" hidden="1"/>
    <cellStyle name="Besuchter Link" xfId="26" builtinId="9" hidden="1"/>
    <cellStyle name="Dezimal" xfId="1" builtinId="3"/>
    <cellStyle name="Link" xfId="3" builtinId="8" hidden="1"/>
    <cellStyle name="Link" xfId="5" builtinId="8" hidden="1"/>
    <cellStyle name="Link" xfId="7" builtinId="8" hidden="1"/>
    <cellStyle name="Link" xfId="9" builtinId="8" hidden="1"/>
    <cellStyle name="Link" xfId="11" builtinId="8" hidden="1"/>
    <cellStyle name="Link" xfId="13" builtinId="8" hidden="1"/>
    <cellStyle name="Link" xfId="15" builtinId="8" hidden="1"/>
    <cellStyle name="Link" xfId="17" builtinId="8" hidden="1"/>
    <cellStyle name="Link" xfId="19" builtinId="8" hidden="1"/>
    <cellStyle name="Link" xfId="21" builtinId="8" hidden="1"/>
    <cellStyle name="Link" xfId="23" builtinId="8" hidden="1"/>
    <cellStyle name="Link" xfId="25" builtinId="8" hidden="1"/>
    <cellStyle name="Prozent" xfId="2" builtinId="5"/>
    <cellStyle name="Standard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5" Type="http://schemas.openxmlformats.org/officeDocument/2006/relationships/calcChain" Target="calcChain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L27"/>
  <sheetViews>
    <sheetView tabSelected="1" workbookViewId="0">
      <selection activeCell="H27" sqref="H27"/>
    </sheetView>
  </sheetViews>
  <sheetFormatPr baseColWidth="10" defaultRowHeight="15" x14ac:dyDescent="0"/>
  <cols>
    <col min="4" max="4" width="20" bestFit="1" customWidth="1"/>
    <col min="8" max="8" width="20" bestFit="1" customWidth="1"/>
  </cols>
  <sheetData>
    <row r="3" spans="2:10">
      <c r="B3" s="1" t="s">
        <v>2</v>
      </c>
      <c r="D3" t="s">
        <v>0</v>
      </c>
      <c r="E3" s="5" t="s">
        <v>3</v>
      </c>
      <c r="F3" s="5"/>
      <c r="G3" s="5"/>
      <c r="H3" t="s">
        <v>1</v>
      </c>
    </row>
    <row r="4" spans="2:10">
      <c r="B4" s="1">
        <v>1</v>
      </c>
      <c r="D4" s="3">
        <f t="array" ref="D4:D6">MMULT(E4:G6,H4:H6)</f>
        <v>0.44000000000000011</v>
      </c>
      <c r="E4" s="2">
        <v>0.8</v>
      </c>
      <c r="F4" s="2">
        <v>0.2</v>
      </c>
      <c r="G4" s="2">
        <v>0.2</v>
      </c>
      <c r="H4" s="4">
        <v>0.4</v>
      </c>
      <c r="J4" s="10">
        <f>SUM(E4:G4)</f>
        <v>1.2</v>
      </c>
    </row>
    <row r="5" spans="2:10">
      <c r="B5" s="1">
        <v>2</v>
      </c>
      <c r="D5" s="3">
        <v>0.26</v>
      </c>
      <c r="E5" s="2">
        <v>0.1</v>
      </c>
      <c r="F5" s="2">
        <v>0.7</v>
      </c>
      <c r="G5" s="2">
        <v>0.2</v>
      </c>
      <c r="H5" s="4">
        <v>0.2</v>
      </c>
      <c r="J5" s="10">
        <f>SUM(E5:G5)</f>
        <v>1</v>
      </c>
    </row>
    <row r="6" spans="2:10">
      <c r="B6" s="1">
        <v>3</v>
      </c>
      <c r="D6" s="3">
        <v>0.3</v>
      </c>
      <c r="E6" s="2">
        <v>0.1</v>
      </c>
      <c r="F6" s="2">
        <v>0.1</v>
      </c>
      <c r="G6" s="2">
        <v>0.6</v>
      </c>
      <c r="H6" s="4">
        <v>0.4</v>
      </c>
      <c r="J6" s="10">
        <f>SUM(E6:G6)</f>
        <v>0.8</v>
      </c>
    </row>
    <row r="8" spans="2:10">
      <c r="E8" s="10">
        <f>SUM(E4:E6)</f>
        <v>1</v>
      </c>
      <c r="F8" s="10">
        <f>SUM(F4:F6)</f>
        <v>0.99999999999999989</v>
      </c>
      <c r="G8" s="10">
        <f>SUM(G4:G6)</f>
        <v>1</v>
      </c>
    </row>
    <row r="17" spans="2:12">
      <c r="B17" s="1" t="s">
        <v>2</v>
      </c>
      <c r="D17" t="s">
        <v>4</v>
      </c>
      <c r="E17" s="5" t="s">
        <v>5</v>
      </c>
      <c r="F17" s="5"/>
      <c r="G17" s="5"/>
      <c r="H17" t="s">
        <v>0</v>
      </c>
      <c r="I17" s="6" t="s">
        <v>6</v>
      </c>
      <c r="J17" s="6"/>
      <c r="K17" s="6"/>
      <c r="L17" t="s">
        <v>1</v>
      </c>
    </row>
    <row r="18" spans="2:12">
      <c r="B18" s="1">
        <v>1</v>
      </c>
      <c r="D18" s="7">
        <f t="array" ref="D18:D20">MMULT(E18:G20,H18:H20)</f>
        <v>0.39400000000000007</v>
      </c>
      <c r="E18" s="2">
        <v>0.7</v>
      </c>
      <c r="F18" s="2">
        <v>0.1</v>
      </c>
      <c r="G18" s="2">
        <v>0.2</v>
      </c>
      <c r="H18" s="8">
        <f t="array" ref="H18:H20">MMULT(I18:K20,L18:L20)</f>
        <v>0.44000000000000011</v>
      </c>
      <c r="I18" s="2">
        <f t="array" ref="I18:K20">E4:G6</f>
        <v>0.8</v>
      </c>
      <c r="J18" s="2">
        <v>0.2</v>
      </c>
      <c r="K18" s="2">
        <v>0.2</v>
      </c>
      <c r="L18" s="9">
        <f>H4</f>
        <v>0.4</v>
      </c>
    </row>
    <row r="19" spans="2:12">
      <c r="B19" s="1">
        <v>2</v>
      </c>
      <c r="D19" s="7">
        <v>0.32600000000000007</v>
      </c>
      <c r="E19" s="2">
        <v>0.2</v>
      </c>
      <c r="F19" s="2">
        <v>0.8</v>
      </c>
      <c r="G19" s="2">
        <v>0.1</v>
      </c>
      <c r="H19" s="8">
        <v>0.26</v>
      </c>
      <c r="I19" s="2">
        <v>0.1</v>
      </c>
      <c r="J19" s="2">
        <v>0.7</v>
      </c>
      <c r="K19" s="2">
        <v>0.2</v>
      </c>
      <c r="L19" s="9">
        <f t="shared" ref="L19:L20" si="0">H5</f>
        <v>0.2</v>
      </c>
    </row>
    <row r="20" spans="2:12">
      <c r="B20" s="1">
        <v>3</v>
      </c>
      <c r="D20" s="7">
        <v>0.28000000000000003</v>
      </c>
      <c r="E20" s="2">
        <v>0.1</v>
      </c>
      <c r="F20" s="2">
        <v>0.1</v>
      </c>
      <c r="G20" s="2">
        <v>0.7</v>
      </c>
      <c r="H20" s="8">
        <v>0.3</v>
      </c>
      <c r="I20" s="2">
        <v>0.1</v>
      </c>
      <c r="J20" s="2">
        <v>0.1</v>
      </c>
      <c r="K20" s="2">
        <v>0.6</v>
      </c>
      <c r="L20" s="9">
        <f t="shared" si="0"/>
        <v>0.4</v>
      </c>
    </row>
    <row r="21" spans="2:12">
      <c r="E21" s="10"/>
      <c r="F21" s="10"/>
      <c r="G21" s="10"/>
      <c r="I21" s="10"/>
      <c r="J21" s="10"/>
      <c r="K21" s="10"/>
    </row>
    <row r="23" spans="2:12">
      <c r="B23" s="1" t="s">
        <v>2</v>
      </c>
      <c r="D23" t="s">
        <v>4</v>
      </c>
      <c r="E23" s="5" t="s">
        <v>5</v>
      </c>
      <c r="F23" s="5"/>
      <c r="G23" s="5"/>
      <c r="H23" t="s">
        <v>1</v>
      </c>
    </row>
    <row r="24" spans="2:12">
      <c r="B24" s="1">
        <v>1</v>
      </c>
      <c r="D24" s="7">
        <f t="array" ref="D24:D26">MMULT(E24:G26,H24:H26)</f>
        <v>0.39399999999999996</v>
      </c>
      <c r="E24" s="2">
        <f t="array" ref="E24:G26">MMULT(E18:G20,I18:K20)</f>
        <v>0.59</v>
      </c>
      <c r="F24" s="2">
        <v>0.22999999999999998</v>
      </c>
      <c r="G24" s="2">
        <v>0.27999999999999997</v>
      </c>
      <c r="H24" s="8">
        <f t="array" ref="H24:H26">L18:L20</f>
        <v>0.4</v>
      </c>
    </row>
    <row r="25" spans="2:12">
      <c r="B25" s="1">
        <v>2</v>
      </c>
      <c r="D25" s="7">
        <v>0.32600000000000007</v>
      </c>
      <c r="E25" s="2">
        <v>0.25000000000000006</v>
      </c>
      <c r="F25" s="2">
        <v>0.61</v>
      </c>
      <c r="G25" s="2">
        <v>0.26</v>
      </c>
      <c r="H25" s="8">
        <v>0.2</v>
      </c>
    </row>
    <row r="26" spans="2:12">
      <c r="B26" s="1">
        <v>3</v>
      </c>
      <c r="D26" s="7">
        <v>0.28000000000000003</v>
      </c>
      <c r="E26" s="2">
        <v>0.16000000000000003</v>
      </c>
      <c r="F26" s="2">
        <v>0.15999999999999998</v>
      </c>
      <c r="G26" s="2">
        <v>0.45999999999999996</v>
      </c>
      <c r="H26" s="8">
        <v>0.4</v>
      </c>
    </row>
    <row r="27" spans="2:12">
      <c r="E27" s="10"/>
      <c r="F27" s="10"/>
      <c r="G27" s="10"/>
    </row>
  </sheetData>
  <mergeCells count="4">
    <mergeCell ref="E3:G3"/>
    <mergeCell ref="E17:G17"/>
    <mergeCell ref="I17:K17"/>
    <mergeCell ref="E23:G23"/>
  </mergeCells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Blatt1</vt:lpstr>
    </vt:vector>
  </TitlesOfParts>
  <Company>Fachhochschule Südwestfalen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Stefan Böcker</dc:creator>
  <cp:lastModifiedBy>Stefan Böcker</cp:lastModifiedBy>
  <dcterms:created xsi:type="dcterms:W3CDTF">2015-10-25T11:39:30Z</dcterms:created>
  <dcterms:modified xsi:type="dcterms:W3CDTF">2015-10-25T14:38:03Z</dcterms:modified>
</cp:coreProperties>
</file>